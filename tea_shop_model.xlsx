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my-profile\"/>
    </mc:Choice>
  </mc:AlternateContent>
  <bookViews>
    <workbookView xWindow="0" yWindow="0" windowWidth="9192" windowHeight="2988"/>
  </bookViews>
  <sheets>
    <sheet name="方案摘要" sheetId="2" r:id="rId1"/>
    <sheet name="Mode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F12" i="1" s="1"/>
  <c r="G12" i="1" s="1"/>
  <c r="D13" i="1"/>
  <c r="F13" i="1" s="1"/>
  <c r="G13" i="1" s="1"/>
  <c r="D14" i="1"/>
  <c r="F14" i="1" s="1"/>
  <c r="G14" i="1" s="1"/>
  <c r="D15" i="1"/>
  <c r="F15" i="1" s="1"/>
  <c r="G15" i="1" s="1"/>
  <c r="D16" i="1"/>
  <c r="F16" i="1" s="1"/>
  <c r="G16" i="1" s="1"/>
  <c r="D17" i="1"/>
  <c r="E17" i="1" s="1"/>
  <c r="D18" i="1"/>
  <c r="F18" i="1" s="1"/>
  <c r="G18" i="1" s="1"/>
  <c r="D19" i="1"/>
  <c r="E19" i="1" s="1"/>
  <c r="D20" i="1"/>
  <c r="F20" i="1" s="1"/>
  <c r="G20" i="1" s="1"/>
  <c r="D21" i="1"/>
  <c r="F21" i="1" s="1"/>
  <c r="G21" i="1" s="1"/>
  <c r="D22" i="1"/>
  <c r="F22" i="1" s="1"/>
  <c r="G22" i="1" s="1"/>
  <c r="D11" i="1"/>
  <c r="E11" i="1" s="1"/>
  <c r="C12" i="1"/>
  <c r="C13" i="1"/>
  <c r="C14" i="1"/>
  <c r="C15" i="1"/>
  <c r="C16" i="1"/>
  <c r="C17" i="1"/>
  <c r="C18" i="1"/>
  <c r="C19" i="1"/>
  <c r="C20" i="1"/>
  <c r="C21" i="1"/>
  <c r="C22" i="1"/>
  <c r="C11" i="1"/>
  <c r="B12" i="1"/>
  <c r="B13" i="1"/>
  <c r="B14" i="1"/>
  <c r="B15" i="1"/>
  <c r="B16" i="1"/>
  <c r="B17" i="1"/>
  <c r="B18" i="1"/>
  <c r="B19" i="1"/>
  <c r="B20" i="1"/>
  <c r="B21" i="1"/>
  <c r="B22" i="1"/>
  <c r="B11" i="1"/>
  <c r="D24" i="1"/>
  <c r="D36" i="1" s="1"/>
  <c r="D25" i="1"/>
  <c r="D37" i="1" s="1"/>
  <c r="D26" i="1"/>
  <c r="D38" i="1" s="1"/>
  <c r="D27" i="1"/>
  <c r="F27" i="1" s="1"/>
  <c r="D28" i="1"/>
  <c r="E28" i="1" s="1"/>
  <c r="D29" i="1"/>
  <c r="E29" i="1" s="1"/>
  <c r="D30" i="1"/>
  <c r="F30" i="1" s="1"/>
  <c r="G30" i="1" s="1"/>
  <c r="D31" i="1"/>
  <c r="F31" i="1" s="1"/>
  <c r="D32" i="1"/>
  <c r="E32" i="1" s="1"/>
  <c r="D33" i="1"/>
  <c r="F33" i="1" s="1"/>
  <c r="D34" i="1"/>
  <c r="D46" i="1" s="1"/>
  <c r="C24" i="1"/>
  <c r="C36" i="1" s="1"/>
  <c r="C25" i="1"/>
  <c r="C37" i="1" s="1"/>
  <c r="C26" i="1"/>
  <c r="C38" i="1" s="1"/>
  <c r="C27" i="1"/>
  <c r="C39" i="1" s="1"/>
  <c r="C28" i="1"/>
  <c r="C40" i="1" s="1"/>
  <c r="C29" i="1"/>
  <c r="C41" i="1" s="1"/>
  <c r="C30" i="1"/>
  <c r="C42" i="1" s="1"/>
  <c r="C31" i="1"/>
  <c r="C43" i="1" s="1"/>
  <c r="C32" i="1"/>
  <c r="C44" i="1" s="1"/>
  <c r="C33" i="1"/>
  <c r="C45" i="1" s="1"/>
  <c r="C34" i="1"/>
  <c r="C46" i="1" s="1"/>
  <c r="B24" i="1"/>
  <c r="B25" i="1"/>
  <c r="B26" i="1"/>
  <c r="B27" i="1"/>
  <c r="B28" i="1"/>
  <c r="B29" i="1"/>
  <c r="B30" i="1"/>
  <c r="B31" i="1"/>
  <c r="B32" i="1"/>
  <c r="B33" i="1"/>
  <c r="B34" i="1"/>
  <c r="D23" i="1"/>
  <c r="F23" i="1" s="1"/>
  <c r="C23" i="1"/>
  <c r="C35" i="1" s="1"/>
  <c r="B23" i="1"/>
  <c r="B40" i="1" s="1"/>
  <c r="B6" i="1"/>
  <c r="E22" i="1" l="1"/>
  <c r="E21" i="1"/>
  <c r="H21" i="1" s="1"/>
  <c r="E20" i="1"/>
  <c r="H20" i="1" s="1"/>
  <c r="B46" i="1"/>
  <c r="B39" i="1"/>
  <c r="B45" i="1"/>
  <c r="B38" i="1"/>
  <c r="B35" i="1"/>
  <c r="G27" i="1"/>
  <c r="B37" i="1"/>
  <c r="E12" i="1"/>
  <c r="H12" i="1" s="1"/>
  <c r="F24" i="1"/>
  <c r="G24" i="1" s="1"/>
  <c r="B36" i="1"/>
  <c r="E16" i="1"/>
  <c r="H16" i="1" s="1"/>
  <c r="E15" i="1"/>
  <c r="H15" i="1" s="1"/>
  <c r="E14" i="1"/>
  <c r="H14" i="1" s="1"/>
  <c r="E13" i="1"/>
  <c r="F17" i="1"/>
  <c r="G17" i="1" s="1"/>
  <c r="H17" i="1" s="1"/>
  <c r="B44" i="1"/>
  <c r="B43" i="1"/>
  <c r="B42" i="1"/>
  <c r="E18" i="1"/>
  <c r="H18" i="1" s="1"/>
  <c r="B41" i="1"/>
  <c r="G31" i="1"/>
  <c r="E34" i="1"/>
  <c r="F34" i="1"/>
  <c r="G34" i="1" s="1"/>
  <c r="F26" i="1"/>
  <c r="G26" i="1" s="1"/>
  <c r="F25" i="1"/>
  <c r="G25" i="1" s="1"/>
  <c r="D35" i="1"/>
  <c r="F35" i="1" s="1"/>
  <c r="E31" i="1"/>
  <c r="D45" i="1"/>
  <c r="E45" i="1" s="1"/>
  <c r="D44" i="1"/>
  <c r="E33" i="1"/>
  <c r="D41" i="1"/>
  <c r="F29" i="1"/>
  <c r="G29" i="1" s="1"/>
  <c r="H29" i="1" s="1"/>
  <c r="E30" i="1"/>
  <c r="H30" i="1" s="1"/>
  <c r="F11" i="1"/>
  <c r="G11" i="1" s="1"/>
  <c r="H11" i="1" s="1"/>
  <c r="E23" i="1"/>
  <c r="E25" i="1"/>
  <c r="G33" i="1"/>
  <c r="F32" i="1"/>
  <c r="G32" i="1" s="1"/>
  <c r="H32" i="1" s="1"/>
  <c r="D43" i="1"/>
  <c r="D42" i="1"/>
  <c r="E27" i="1"/>
  <c r="E26" i="1"/>
  <c r="E24" i="1"/>
  <c r="G23" i="1"/>
  <c r="E38" i="1"/>
  <c r="F38" i="1"/>
  <c r="E37" i="1"/>
  <c r="F37" i="1"/>
  <c r="E36" i="1"/>
  <c r="F36" i="1"/>
  <c r="E46" i="1"/>
  <c r="F46" i="1"/>
  <c r="G46" i="1" s="1"/>
  <c r="H13" i="1"/>
  <c r="D40" i="1"/>
  <c r="F19" i="1"/>
  <c r="G19" i="1" s="1"/>
  <c r="H19" i="1" s="1"/>
  <c r="F28" i="1"/>
  <c r="G28" i="1" s="1"/>
  <c r="H28" i="1" s="1"/>
  <c r="D39" i="1"/>
  <c r="H22" i="1"/>
  <c r="G38" i="1" l="1"/>
  <c r="H38" i="1" s="1"/>
  <c r="H27" i="1"/>
  <c r="H24" i="1"/>
  <c r="G36" i="1"/>
  <c r="G35" i="1"/>
  <c r="G37" i="1"/>
  <c r="H37" i="1" s="1"/>
  <c r="H34" i="1"/>
  <c r="K34" i="1" s="1"/>
  <c r="J19" i="1"/>
  <c r="K19" i="1"/>
  <c r="E35" i="1"/>
  <c r="J11" i="1"/>
  <c r="K11" i="1"/>
  <c r="J30" i="1"/>
  <c r="K30" i="1"/>
  <c r="J17" i="1"/>
  <c r="K17" i="1"/>
  <c r="J18" i="1"/>
  <c r="K18" i="1"/>
  <c r="H26" i="1"/>
  <c r="J27" i="1"/>
  <c r="K27" i="1"/>
  <c r="J16" i="1"/>
  <c r="K16" i="1"/>
  <c r="J14" i="1"/>
  <c r="K14" i="1"/>
  <c r="J28" i="1"/>
  <c r="K28" i="1"/>
  <c r="J15" i="1"/>
  <c r="K15" i="1"/>
  <c r="J29" i="1"/>
  <c r="K29" i="1"/>
  <c r="J24" i="1"/>
  <c r="K24" i="1"/>
  <c r="J13" i="1"/>
  <c r="K13" i="1"/>
  <c r="J22" i="1"/>
  <c r="K22" i="1"/>
  <c r="J21" i="1"/>
  <c r="K21" i="1"/>
  <c r="H25" i="1"/>
  <c r="J12" i="1"/>
  <c r="K12" i="1"/>
  <c r="J20" i="1"/>
  <c r="K20" i="1"/>
  <c r="J32" i="1"/>
  <c r="K32" i="1"/>
  <c r="H31" i="1"/>
  <c r="H35" i="1"/>
  <c r="H23" i="1"/>
  <c r="E42" i="1"/>
  <c r="F42" i="1"/>
  <c r="G42" i="1" s="1"/>
  <c r="F43" i="1"/>
  <c r="G43" i="1" s="1"/>
  <c r="E43" i="1"/>
  <c r="F44" i="1"/>
  <c r="G44" i="1" s="1"/>
  <c r="E44" i="1"/>
  <c r="F45" i="1"/>
  <c r="G45" i="1" s="1"/>
  <c r="H45" i="1" s="1"/>
  <c r="H33" i="1"/>
  <c r="F41" i="1"/>
  <c r="G41" i="1" s="1"/>
  <c r="E41" i="1"/>
  <c r="H41" i="1" s="1"/>
  <c r="I11" i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E39" i="1"/>
  <c r="F39" i="1"/>
  <c r="G39" i="1" s="1"/>
  <c r="H46" i="1"/>
  <c r="H36" i="1"/>
  <c r="F40" i="1"/>
  <c r="G40" i="1" s="1"/>
  <c r="E40" i="1"/>
  <c r="J34" i="1" l="1"/>
  <c r="H43" i="1"/>
  <c r="J43" i="1" s="1"/>
  <c r="J37" i="1"/>
  <c r="K37" i="1"/>
  <c r="J23" i="1"/>
  <c r="K23" i="1"/>
  <c r="J35" i="1"/>
  <c r="K35" i="1"/>
  <c r="J33" i="1"/>
  <c r="K33" i="1"/>
  <c r="J38" i="1"/>
  <c r="K38" i="1"/>
  <c r="J45" i="1"/>
  <c r="K45" i="1"/>
  <c r="J26" i="1"/>
  <c r="K26" i="1"/>
  <c r="J36" i="1"/>
  <c r="K36" i="1"/>
  <c r="J25" i="1"/>
  <c r="K25" i="1"/>
  <c r="J46" i="1"/>
  <c r="K46" i="1"/>
  <c r="J41" i="1"/>
  <c r="K41" i="1"/>
  <c r="H40" i="1"/>
  <c r="J31" i="1"/>
  <c r="K31" i="1"/>
  <c r="I23" i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H44" i="1"/>
  <c r="H42" i="1"/>
  <c r="H39" i="1"/>
  <c r="K43" i="1" l="1"/>
  <c r="J39" i="1"/>
  <c r="K39" i="1"/>
  <c r="J42" i="1"/>
  <c r="K42" i="1"/>
  <c r="J44" i="1"/>
  <c r="K44" i="1"/>
  <c r="J40" i="1"/>
  <c r="K40" i="1"/>
  <c r="I39" i="1"/>
  <c r="I40" i="1" s="1"/>
  <c r="I41" i="1" s="1"/>
  <c r="I42" i="1" s="1"/>
  <c r="I43" i="1" s="1"/>
  <c r="I44" i="1" s="1"/>
  <c r="I45" i="1" s="1"/>
  <c r="I46" i="1" s="1"/>
</calcChain>
</file>

<file path=xl/sharedStrings.xml><?xml version="1.0" encoding="utf-8"?>
<sst xmlns="http://schemas.openxmlformats.org/spreadsheetml/2006/main" count="73" uniqueCount="72">
  <si>
    <t>初始月租金</t>
    <phoneticPr fontId="2" type="noConversion"/>
  </si>
  <si>
    <t>初始员工薪资</t>
    <phoneticPr fontId="2" type="noConversion"/>
  </si>
  <si>
    <t>每杯原料成本</t>
    <phoneticPr fontId="2" type="noConversion"/>
  </si>
  <si>
    <t>单杯售价</t>
    <phoneticPr fontId="2" type="noConversion"/>
  </si>
  <si>
    <t>初始日均销量</t>
    <phoneticPr fontId="2" type="noConversion"/>
  </si>
  <si>
    <t>月固定成本</t>
    <phoneticPr fontId="2" type="noConversion"/>
  </si>
  <si>
    <t>年租金增长率</t>
    <phoneticPr fontId="2" type="noConversion"/>
  </si>
  <si>
    <t>年客流增长率</t>
    <phoneticPr fontId="2" type="noConversion"/>
  </si>
  <si>
    <t>月份</t>
    <phoneticPr fontId="2" type="noConversion"/>
  </si>
  <si>
    <t>月租金</t>
    <phoneticPr fontId="2" type="noConversion"/>
  </si>
  <si>
    <t>月人力</t>
    <phoneticPr fontId="2" type="noConversion"/>
  </si>
  <si>
    <t>月销量</t>
    <phoneticPr fontId="2" type="noConversion"/>
  </si>
  <si>
    <t>月收入</t>
    <phoneticPr fontId="2" type="noConversion"/>
  </si>
  <si>
    <t>月变动成本</t>
    <phoneticPr fontId="2" type="noConversion"/>
  </si>
  <si>
    <t>月总成本</t>
    <phoneticPr fontId="2" type="noConversion"/>
  </si>
  <si>
    <t>月净利润</t>
    <phoneticPr fontId="2" type="noConversion"/>
  </si>
  <si>
    <t>累计利润</t>
    <phoneticPr fontId="2" type="noConversion"/>
  </si>
  <si>
    <t>Month1</t>
    <phoneticPr fontId="2" type="noConversion"/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</si>
  <si>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</si>
  <si>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</si>
  <si>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</si>
  <si>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</si>
  <si>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</si>
  <si>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</si>
  <si>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</si>
  <si>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</si>
  <si>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</si>
  <si>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</si>
  <si>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</si>
  <si>
    <t>Month13</t>
  </si>
  <si>
    <t>Month14</t>
  </si>
  <si>
    <t>Month15</t>
  </si>
  <si>
    <t>Month16</t>
  </si>
  <si>
    <t>Month17</t>
  </si>
  <si>
    <t>Month18</t>
  </si>
  <si>
    <t>Month19</t>
  </si>
  <si>
    <t>Month20</t>
  </si>
  <si>
    <t>Month21</t>
  </si>
  <si>
    <t>Month22</t>
  </si>
  <si>
    <t>Month23</t>
  </si>
  <si>
    <t>Month24</t>
  </si>
  <si>
    <t>Month25</t>
  </si>
  <si>
    <t>Month26</t>
  </si>
  <si>
    <t>Month27</t>
  </si>
  <si>
    <t>Month28</t>
  </si>
  <si>
    <t>Month29</t>
  </si>
  <si>
    <t>Month30</t>
  </si>
  <si>
    <t>Month31</t>
  </si>
  <si>
    <t>Month32</t>
  </si>
  <si>
    <t>Month33</t>
  </si>
  <si>
    <t>Month34</t>
  </si>
  <si>
    <t>Month35</t>
  </si>
  <si>
    <t>Month36</t>
  </si>
  <si>
    <t>状态</t>
    <phoneticPr fontId="2" type="noConversion"/>
  </si>
  <si>
    <t>奖金提成</t>
    <phoneticPr fontId="2" type="noConversion"/>
  </si>
  <si>
    <t>$B$4</t>
  </si>
  <si>
    <t>$B$5</t>
  </si>
  <si>
    <t>$B$7</t>
  </si>
  <si>
    <t>$B$8</t>
  </si>
  <si>
    <t>$I$46</t>
  </si>
  <si>
    <t>基准情景</t>
  </si>
  <si>
    <t>创建者 Administrator 日期 2026/9/16</t>
  </si>
  <si>
    <t>乐观情景</t>
  </si>
  <si>
    <t>创建者 Administrator 日期 2026/9/16
修改者 Administrator 日期 2026/9/16</t>
  </si>
  <si>
    <t>悲观情景</t>
  </si>
  <si>
    <t>方案摘要</t>
  </si>
  <si>
    <t>可变单元格:</t>
  </si>
  <si>
    <t>当前值:</t>
  </si>
  <si>
    <t>结果单元格:</t>
  </si>
  <si>
    <t>注释: “当前值”这一列表示的是在</t>
  </si>
  <si>
    <t>建立方案汇总时，可变单元格的值。</t>
  </si>
  <si>
    <t>每组方案的可变单元格均以灰色底纹突出显示。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</si>
</sst>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indexed="9"/>
      <name val="等线"/>
      <family val="2"/>
      <charset val="134"/>
      <scheme val="minor"/>
    </font>
    <font>
      <b/>
      <sz val="11"/>
      <color indexed="9"/>
      <name val="等线"/>
      <family val="3"/>
      <charset val="134"/>
      <scheme val="minor"/>
    </font>
    <font>
      <b/>
      <sz val="11"/>
      <color indexed="8"/>
      <name val="等线"/>
      <family val="2"/>
      <charset val="134"/>
      <scheme val="minor"/>
    </font>
    <font>
      <b/>
      <sz val="11"/>
      <color indexed="18"/>
      <name val="等线"/>
      <family val="2"/>
      <charset val="134"/>
      <scheme val="minor"/>
    </font>
    <font>
      <b/>
      <sz val="11"/>
      <color indexed="18"/>
      <name val="等线"/>
      <family val="3"/>
      <charset val="134"/>
      <scheme val="minor"/>
    </font>
    <font>
      <sz val="11"/>
      <color indexed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vertical="center"/>
    </xf>
    <xf numFmtId="9" fontId="0" fillId="0" borderId="0" xfId="0" applyNumberForma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0" borderId="4" xfId="0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0" fillId="4" borderId="0" xfId="0" applyFill="1" applyBorder="1" applyAlignment="1">
      <alignment vertical="center"/>
    </xf>
    <xf numFmtId="9" fontId="0" fillId="4" borderId="0" xfId="0" applyNumberFormat="1" applyFill="1" applyBorder="1" applyAlignment="1">
      <alignment vertical="center"/>
    </xf>
    <xf numFmtId="0" fontId="9" fillId="0" borderId="0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G14"/>
  <sheetViews>
    <sheetView showGridLines="0" tabSelected="1" workbookViewId="0"/>
  </sheetViews>
  <sheetFormatPr defaultRowHeight="13.8" outlineLevelRow="1" outlineLevelCol="1" x14ac:dyDescent="0.25"/>
  <cols>
    <col min="3" max="3" width="6.5546875" customWidth="1"/>
    <col min="4" max="7" width="9.6640625" bestFit="1" customWidth="1" outlineLevel="1"/>
  </cols>
  <sheetData>
    <row r="1" spans="2:7" ht="14.4" thickBot="1" x14ac:dyDescent="0.3"/>
    <row r="2" spans="2:7" x14ac:dyDescent="0.25">
      <c r="B2" s="7" t="s">
        <v>65</v>
      </c>
      <c r="C2" s="8"/>
      <c r="D2" s="14"/>
      <c r="E2" s="14"/>
      <c r="F2" s="14"/>
      <c r="G2" s="14"/>
    </row>
    <row r="3" spans="2:7" collapsed="1" x14ac:dyDescent="0.25">
      <c r="B3" s="6"/>
      <c r="C3" s="6"/>
      <c r="D3" s="15" t="s">
        <v>67</v>
      </c>
      <c r="E3" s="15" t="s">
        <v>60</v>
      </c>
      <c r="F3" s="15" t="s">
        <v>62</v>
      </c>
      <c r="G3" s="15" t="s">
        <v>64</v>
      </c>
    </row>
    <row r="4" spans="2:7" ht="105.6" hidden="1" outlineLevel="1" x14ac:dyDescent="0.25">
      <c r="B4" s="10"/>
      <c r="C4" s="10"/>
      <c r="D4" s="3"/>
      <c r="E4" s="18" t="s">
        <v>61</v>
      </c>
      <c r="F4" s="18" t="s">
        <v>63</v>
      </c>
      <c r="G4" s="18" t="s">
        <v>61</v>
      </c>
    </row>
    <row r="5" spans="2:7" x14ac:dyDescent="0.25">
      <c r="B5" s="11" t="s">
        <v>66</v>
      </c>
      <c r="C5" s="12"/>
      <c r="D5" s="9"/>
      <c r="E5" s="9"/>
      <c r="F5" s="9"/>
      <c r="G5" s="9"/>
    </row>
    <row r="6" spans="2:7" outlineLevel="1" x14ac:dyDescent="0.25">
      <c r="B6" s="10"/>
      <c r="C6" s="10" t="s">
        <v>55</v>
      </c>
      <c r="D6" s="3">
        <v>15</v>
      </c>
      <c r="E6" s="16">
        <v>13</v>
      </c>
      <c r="F6" s="16">
        <v>15</v>
      </c>
      <c r="G6" s="16">
        <v>10</v>
      </c>
    </row>
    <row r="7" spans="2:7" outlineLevel="1" x14ac:dyDescent="0.25">
      <c r="B7" s="10"/>
      <c r="C7" s="10" t="s">
        <v>56</v>
      </c>
      <c r="D7" s="3">
        <v>200</v>
      </c>
      <c r="E7" s="16">
        <v>150</v>
      </c>
      <c r="F7" s="16">
        <v>200</v>
      </c>
      <c r="G7" s="16">
        <v>80</v>
      </c>
    </row>
    <row r="8" spans="2:7" outlineLevel="1" x14ac:dyDescent="0.25">
      <c r="B8" s="10"/>
      <c r="C8" s="10" t="s">
        <v>57</v>
      </c>
      <c r="D8" s="4">
        <v>0.05</v>
      </c>
      <c r="E8" s="17">
        <v>0.15</v>
      </c>
      <c r="F8" s="17">
        <v>0.05</v>
      </c>
      <c r="G8" s="17">
        <v>0.2</v>
      </c>
    </row>
    <row r="9" spans="2:7" outlineLevel="1" x14ac:dyDescent="0.25">
      <c r="B9" s="10"/>
      <c r="C9" s="10" t="s">
        <v>58</v>
      </c>
      <c r="D9" s="4">
        <v>0</v>
      </c>
      <c r="E9" s="17">
        <v>-0.05</v>
      </c>
      <c r="F9" s="17">
        <v>0.1</v>
      </c>
      <c r="G9" s="17">
        <v>-0.15</v>
      </c>
    </row>
    <row r="10" spans="2:7" x14ac:dyDescent="0.25">
      <c r="B10" s="11" t="s">
        <v>68</v>
      </c>
      <c r="C10" s="12"/>
      <c r="D10" s="9"/>
      <c r="E10" s="9"/>
      <c r="F10" s="9"/>
      <c r="G10" s="9"/>
    </row>
    <row r="11" spans="2:7" ht="14.4" outlineLevel="1" thickBot="1" x14ac:dyDescent="0.3">
      <c r="B11" s="13"/>
      <c r="C11" s="13" t="s">
        <v>59</v>
      </c>
      <c r="D11" s="5">
        <v>1267950</v>
      </c>
      <c r="E11" s="5">
        <v>81900</v>
      </c>
      <c r="F11" s="5">
        <v>1535790</v>
      </c>
      <c r="G11" s="5">
        <v>-1010184</v>
      </c>
    </row>
    <row r="12" spans="2:7" x14ac:dyDescent="0.25">
      <c r="B12" t="s">
        <v>69</v>
      </c>
    </row>
    <row r="13" spans="2:7" x14ac:dyDescent="0.25">
      <c r="B13" t="s">
        <v>70</v>
      </c>
    </row>
    <row r="14" spans="2:7" x14ac:dyDescent="0.25">
      <c r="B14" t="s">
        <v>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25" zoomScale="130" zoomScaleNormal="130" workbookViewId="0">
      <selection activeCell="I18" sqref="I18"/>
    </sheetView>
  </sheetViews>
  <sheetFormatPr defaultRowHeight="13.8" x14ac:dyDescent="0.25"/>
  <cols>
    <col min="1" max="1" width="14.109375" customWidth="1"/>
    <col min="6" max="6" width="11" customWidth="1"/>
  </cols>
  <sheetData>
    <row r="1" spans="1:11" x14ac:dyDescent="0.25">
      <c r="A1" t="s">
        <v>0</v>
      </c>
      <c r="B1">
        <v>15000</v>
      </c>
    </row>
    <row r="2" spans="1:11" x14ac:dyDescent="0.25">
      <c r="A2" t="s">
        <v>1</v>
      </c>
      <c r="B2">
        <v>20000</v>
      </c>
    </row>
    <row r="3" spans="1:11" x14ac:dyDescent="0.25">
      <c r="A3" t="s">
        <v>2</v>
      </c>
      <c r="B3">
        <v>3</v>
      </c>
    </row>
    <row r="4" spans="1:11" x14ac:dyDescent="0.25">
      <c r="A4" t="s">
        <v>3</v>
      </c>
      <c r="B4">
        <v>15</v>
      </c>
    </row>
    <row r="5" spans="1:11" x14ac:dyDescent="0.25">
      <c r="A5" t="s">
        <v>4</v>
      </c>
      <c r="B5">
        <v>200</v>
      </c>
    </row>
    <row r="6" spans="1:11" x14ac:dyDescent="0.25">
      <c r="A6" t="s">
        <v>5</v>
      </c>
      <c r="B6">
        <f>B1+B2</f>
        <v>35000</v>
      </c>
    </row>
    <row r="7" spans="1:11" x14ac:dyDescent="0.25">
      <c r="A7" t="s">
        <v>6</v>
      </c>
      <c r="B7" s="1">
        <v>0.05</v>
      </c>
    </row>
    <row r="8" spans="1:11" x14ac:dyDescent="0.25">
      <c r="A8" t="s">
        <v>7</v>
      </c>
      <c r="B8" s="1">
        <v>0</v>
      </c>
    </row>
    <row r="10" spans="1:11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53</v>
      </c>
      <c r="K10" t="s">
        <v>54</v>
      </c>
    </row>
    <row r="11" spans="1:11" x14ac:dyDescent="0.25">
      <c r="A11" t="s">
        <v>17</v>
      </c>
      <c r="B11">
        <f>$B$1</f>
        <v>15000</v>
      </c>
      <c r="C11">
        <f>$B$2</f>
        <v>20000</v>
      </c>
      <c r="D11">
        <f>$B$5*30</f>
        <v>6000</v>
      </c>
      <c r="E11">
        <f>$B$4*D11</f>
        <v>90000</v>
      </c>
      <c r="F11">
        <f>$B$3*D11</f>
        <v>18000</v>
      </c>
      <c r="G11">
        <f>B11+C11+F11</f>
        <v>53000</v>
      </c>
      <c r="H11">
        <f>E11-G11</f>
        <v>37000</v>
      </c>
      <c r="I11">
        <f>H11</f>
        <v>37000</v>
      </c>
      <c r="J11" t="str">
        <f>IF(H11&gt;50000,"优秀",IF(H11&gt;0,"盈利",IF(H11=0,"保本","亏损")))</f>
        <v>盈利</v>
      </c>
      <c r="K11">
        <f>IF(H11&lt;0,0,IF(D11&gt;4500,H11*0.05,IF(D11&gt;3500,H11*0.02,0)))</f>
        <v>1850</v>
      </c>
    </row>
    <row r="12" spans="1:11" x14ac:dyDescent="0.25">
      <c r="A12" t="s">
        <v>18</v>
      </c>
      <c r="B12">
        <f t="shared" ref="B12:B22" si="0">$B$1</f>
        <v>15000</v>
      </c>
      <c r="C12">
        <f t="shared" ref="C12:C22" si="1">$B$2</f>
        <v>20000</v>
      </c>
      <c r="D12">
        <f t="shared" ref="D12:D22" si="2">$B$5*30</f>
        <v>6000</v>
      </c>
      <c r="E12">
        <f t="shared" ref="E12:E22" si="3">$B$4*D12</f>
        <v>90000</v>
      </c>
      <c r="F12">
        <f t="shared" ref="F12:F22" si="4">$B$3*D12</f>
        <v>18000</v>
      </c>
      <c r="G12">
        <f t="shared" ref="G12:G22" si="5">B12+C12+F12</f>
        <v>53000</v>
      </c>
      <c r="H12">
        <f t="shared" ref="H12:H22" si="6">E12-G12</f>
        <v>37000</v>
      </c>
      <c r="I12">
        <f>H12+I11</f>
        <v>74000</v>
      </c>
      <c r="J12" t="str">
        <f t="shared" ref="J12:J46" si="7">IF(H12&gt;50000,"优秀",IF(H12&gt;0,"盈利",IF(H12=0,"保本","亏损")))</f>
        <v>盈利</v>
      </c>
      <c r="K12">
        <f t="shared" ref="K12:K46" si="8">IF(H12&lt;0,0,IF(D12&gt;4500,H12*0.05,IF(D12&gt;3500,H12*0.02,0)))</f>
        <v>1850</v>
      </c>
    </row>
    <row r="13" spans="1:11" x14ac:dyDescent="0.25">
      <c r="A13" t="s">
        <v>19</v>
      </c>
      <c r="B13">
        <f t="shared" si="0"/>
        <v>15000</v>
      </c>
      <c r="C13">
        <f t="shared" si="1"/>
        <v>20000</v>
      </c>
      <c r="D13">
        <f t="shared" si="2"/>
        <v>6000</v>
      </c>
      <c r="E13">
        <f t="shared" si="3"/>
        <v>90000</v>
      </c>
      <c r="F13">
        <f t="shared" si="4"/>
        <v>18000</v>
      </c>
      <c r="G13">
        <f t="shared" si="5"/>
        <v>53000</v>
      </c>
      <c r="H13">
        <f t="shared" si="6"/>
        <v>37000</v>
      </c>
      <c r="I13">
        <f t="shared" ref="I13:I46" si="9">H13+I12</f>
        <v>111000</v>
      </c>
      <c r="J13" t="str">
        <f t="shared" si="7"/>
        <v>盈利</v>
      </c>
      <c r="K13">
        <f t="shared" si="8"/>
        <v>1850</v>
      </c>
    </row>
    <row r="14" spans="1:11" x14ac:dyDescent="0.25">
      <c r="A14" t="s">
        <v>20</v>
      </c>
      <c r="B14">
        <f t="shared" si="0"/>
        <v>15000</v>
      </c>
      <c r="C14">
        <f t="shared" si="1"/>
        <v>20000</v>
      </c>
      <c r="D14">
        <f t="shared" si="2"/>
        <v>6000</v>
      </c>
      <c r="E14">
        <f t="shared" si="3"/>
        <v>90000</v>
      </c>
      <c r="F14">
        <f t="shared" si="4"/>
        <v>18000</v>
      </c>
      <c r="G14">
        <f t="shared" si="5"/>
        <v>53000</v>
      </c>
      <c r="H14">
        <f t="shared" si="6"/>
        <v>37000</v>
      </c>
      <c r="I14">
        <f t="shared" si="9"/>
        <v>148000</v>
      </c>
      <c r="J14" t="str">
        <f t="shared" si="7"/>
        <v>盈利</v>
      </c>
      <c r="K14">
        <f t="shared" si="8"/>
        <v>1850</v>
      </c>
    </row>
    <row r="15" spans="1:11" x14ac:dyDescent="0.25">
      <c r="A15" t="s">
        <v>21</v>
      </c>
      <c r="B15">
        <f t="shared" si="0"/>
        <v>15000</v>
      </c>
      <c r="C15">
        <f t="shared" si="1"/>
        <v>20000</v>
      </c>
      <c r="D15">
        <f t="shared" si="2"/>
        <v>6000</v>
      </c>
      <c r="E15">
        <f t="shared" si="3"/>
        <v>90000</v>
      </c>
      <c r="F15">
        <f t="shared" si="4"/>
        <v>18000</v>
      </c>
      <c r="G15">
        <f t="shared" si="5"/>
        <v>53000</v>
      </c>
      <c r="H15">
        <f t="shared" si="6"/>
        <v>37000</v>
      </c>
      <c r="I15">
        <f t="shared" si="9"/>
        <v>185000</v>
      </c>
      <c r="J15" t="str">
        <f t="shared" si="7"/>
        <v>盈利</v>
      </c>
      <c r="K15">
        <f t="shared" si="8"/>
        <v>1850</v>
      </c>
    </row>
    <row r="16" spans="1:11" x14ac:dyDescent="0.25">
      <c r="A16" t="s">
        <v>22</v>
      </c>
      <c r="B16">
        <f t="shared" si="0"/>
        <v>15000</v>
      </c>
      <c r="C16">
        <f t="shared" si="1"/>
        <v>20000</v>
      </c>
      <c r="D16">
        <f t="shared" si="2"/>
        <v>6000</v>
      </c>
      <c r="E16">
        <f t="shared" si="3"/>
        <v>90000</v>
      </c>
      <c r="F16">
        <f t="shared" si="4"/>
        <v>18000</v>
      </c>
      <c r="G16">
        <f t="shared" si="5"/>
        <v>53000</v>
      </c>
      <c r="H16">
        <f t="shared" si="6"/>
        <v>37000</v>
      </c>
      <c r="I16">
        <f t="shared" si="9"/>
        <v>222000</v>
      </c>
      <c r="J16" t="str">
        <f t="shared" si="7"/>
        <v>盈利</v>
      </c>
      <c r="K16">
        <f t="shared" si="8"/>
        <v>1850</v>
      </c>
    </row>
    <row r="17" spans="1:11" x14ac:dyDescent="0.25">
      <c r="A17" t="s">
        <v>23</v>
      </c>
      <c r="B17">
        <f t="shared" si="0"/>
        <v>15000</v>
      </c>
      <c r="C17">
        <f t="shared" si="1"/>
        <v>20000</v>
      </c>
      <c r="D17">
        <f t="shared" si="2"/>
        <v>6000</v>
      </c>
      <c r="E17">
        <f t="shared" si="3"/>
        <v>90000</v>
      </c>
      <c r="F17">
        <f t="shared" si="4"/>
        <v>18000</v>
      </c>
      <c r="G17">
        <f t="shared" si="5"/>
        <v>53000</v>
      </c>
      <c r="H17">
        <f t="shared" si="6"/>
        <v>37000</v>
      </c>
      <c r="I17">
        <f t="shared" si="9"/>
        <v>259000</v>
      </c>
      <c r="J17" t="str">
        <f t="shared" si="7"/>
        <v>盈利</v>
      </c>
      <c r="K17">
        <f t="shared" si="8"/>
        <v>1850</v>
      </c>
    </row>
    <row r="18" spans="1:11" x14ac:dyDescent="0.25">
      <c r="A18" t="s">
        <v>24</v>
      </c>
      <c r="B18">
        <f t="shared" si="0"/>
        <v>15000</v>
      </c>
      <c r="C18">
        <f t="shared" si="1"/>
        <v>20000</v>
      </c>
      <c r="D18">
        <f t="shared" si="2"/>
        <v>6000</v>
      </c>
      <c r="E18">
        <f t="shared" si="3"/>
        <v>90000</v>
      </c>
      <c r="F18">
        <f t="shared" si="4"/>
        <v>18000</v>
      </c>
      <c r="G18">
        <f t="shared" si="5"/>
        <v>53000</v>
      </c>
      <c r="H18">
        <f t="shared" si="6"/>
        <v>37000</v>
      </c>
      <c r="I18">
        <f t="shared" si="9"/>
        <v>296000</v>
      </c>
      <c r="J18" t="str">
        <f t="shared" si="7"/>
        <v>盈利</v>
      </c>
      <c r="K18">
        <f t="shared" si="8"/>
        <v>1850</v>
      </c>
    </row>
    <row r="19" spans="1:11" x14ac:dyDescent="0.25">
      <c r="A19" t="s">
        <v>25</v>
      </c>
      <c r="B19">
        <f t="shared" si="0"/>
        <v>15000</v>
      </c>
      <c r="C19">
        <f t="shared" si="1"/>
        <v>20000</v>
      </c>
      <c r="D19">
        <f t="shared" si="2"/>
        <v>6000</v>
      </c>
      <c r="E19">
        <f t="shared" si="3"/>
        <v>90000</v>
      </c>
      <c r="F19">
        <f t="shared" si="4"/>
        <v>18000</v>
      </c>
      <c r="G19">
        <f t="shared" si="5"/>
        <v>53000</v>
      </c>
      <c r="H19">
        <f t="shared" si="6"/>
        <v>37000</v>
      </c>
      <c r="I19">
        <f t="shared" si="9"/>
        <v>333000</v>
      </c>
      <c r="J19" t="str">
        <f t="shared" si="7"/>
        <v>盈利</v>
      </c>
      <c r="K19">
        <f t="shared" si="8"/>
        <v>1850</v>
      </c>
    </row>
    <row r="20" spans="1:11" x14ac:dyDescent="0.25">
      <c r="A20" t="s">
        <v>26</v>
      </c>
      <c r="B20">
        <f t="shared" si="0"/>
        <v>15000</v>
      </c>
      <c r="C20">
        <f t="shared" si="1"/>
        <v>20000</v>
      </c>
      <c r="D20">
        <f t="shared" si="2"/>
        <v>6000</v>
      </c>
      <c r="E20">
        <f t="shared" si="3"/>
        <v>90000</v>
      </c>
      <c r="F20">
        <f t="shared" si="4"/>
        <v>18000</v>
      </c>
      <c r="G20">
        <f t="shared" si="5"/>
        <v>53000</v>
      </c>
      <c r="H20">
        <f t="shared" si="6"/>
        <v>37000</v>
      </c>
      <c r="I20">
        <f t="shared" si="9"/>
        <v>370000</v>
      </c>
      <c r="J20" t="str">
        <f t="shared" si="7"/>
        <v>盈利</v>
      </c>
      <c r="K20">
        <f t="shared" si="8"/>
        <v>1850</v>
      </c>
    </row>
    <row r="21" spans="1:11" x14ac:dyDescent="0.25">
      <c r="A21" t="s">
        <v>27</v>
      </c>
      <c r="B21">
        <f t="shared" si="0"/>
        <v>15000</v>
      </c>
      <c r="C21">
        <f t="shared" si="1"/>
        <v>20000</v>
      </c>
      <c r="D21">
        <f t="shared" si="2"/>
        <v>6000</v>
      </c>
      <c r="E21">
        <f t="shared" si="3"/>
        <v>90000</v>
      </c>
      <c r="F21">
        <f t="shared" si="4"/>
        <v>18000</v>
      </c>
      <c r="G21">
        <f t="shared" si="5"/>
        <v>53000</v>
      </c>
      <c r="H21">
        <f t="shared" si="6"/>
        <v>37000</v>
      </c>
      <c r="I21">
        <f t="shared" si="9"/>
        <v>407000</v>
      </c>
      <c r="J21" t="str">
        <f t="shared" si="7"/>
        <v>盈利</v>
      </c>
      <c r="K21">
        <f t="shared" si="8"/>
        <v>1850</v>
      </c>
    </row>
    <row r="22" spans="1:11" x14ac:dyDescent="0.25">
      <c r="A22" t="s">
        <v>28</v>
      </c>
      <c r="B22">
        <f t="shared" si="0"/>
        <v>15000</v>
      </c>
      <c r="C22">
        <f t="shared" si="1"/>
        <v>20000</v>
      </c>
      <c r="D22">
        <f t="shared" si="2"/>
        <v>6000</v>
      </c>
      <c r="E22">
        <f t="shared" si="3"/>
        <v>90000</v>
      </c>
      <c r="F22">
        <f t="shared" si="4"/>
        <v>18000</v>
      </c>
      <c r="G22">
        <f t="shared" si="5"/>
        <v>53000</v>
      </c>
      <c r="H22">
        <f t="shared" si="6"/>
        <v>37000</v>
      </c>
      <c r="I22">
        <f t="shared" si="9"/>
        <v>444000</v>
      </c>
      <c r="J22" t="str">
        <f t="shared" si="7"/>
        <v>盈利</v>
      </c>
      <c r="K22">
        <f t="shared" si="8"/>
        <v>1850</v>
      </c>
    </row>
    <row r="23" spans="1:11" x14ac:dyDescent="0.25">
      <c r="A23" t="s">
        <v>29</v>
      </c>
      <c r="B23">
        <f>$B$1*(1+$B$7)</f>
        <v>15750</v>
      </c>
      <c r="C23">
        <f>$B$2*(1+$B$7)</f>
        <v>21000</v>
      </c>
      <c r="D23">
        <f>$B$5*30*(1+$B$8)</f>
        <v>6000</v>
      </c>
      <c r="E23">
        <f>$B$4*D23</f>
        <v>90000</v>
      </c>
      <c r="F23">
        <f>$B$3*D23</f>
        <v>18000</v>
      </c>
      <c r="G23">
        <f>B23+C23+F23</f>
        <v>54750</v>
      </c>
      <c r="H23">
        <f>E23-G23</f>
        <v>35250</v>
      </c>
      <c r="I23">
        <f t="shared" si="9"/>
        <v>479250</v>
      </c>
      <c r="J23" t="str">
        <f t="shared" si="7"/>
        <v>盈利</v>
      </c>
      <c r="K23">
        <f t="shared" si="8"/>
        <v>1762.5</v>
      </c>
    </row>
    <row r="24" spans="1:11" x14ac:dyDescent="0.25">
      <c r="A24" t="s">
        <v>30</v>
      </c>
      <c r="B24">
        <f t="shared" ref="B24:B34" si="10">$B$1*(1+$B$7)</f>
        <v>15750</v>
      </c>
      <c r="C24">
        <f t="shared" ref="C24:C34" si="11">$B$2*(1+$B$7)</f>
        <v>21000</v>
      </c>
      <c r="D24">
        <f t="shared" ref="D24:D34" si="12">$B$5*30*(1+$B$8)</f>
        <v>6000</v>
      </c>
      <c r="E24">
        <f t="shared" ref="E24:E46" si="13">$B$4*D24</f>
        <v>90000</v>
      </c>
      <c r="F24">
        <f t="shared" ref="F24:F46" si="14">$B$3*D24</f>
        <v>18000</v>
      </c>
      <c r="G24">
        <f t="shared" ref="G24:G46" si="15">B24+C24+F24</f>
        <v>54750</v>
      </c>
      <c r="H24">
        <f t="shared" ref="H24:H46" si="16">E24-G24</f>
        <v>35250</v>
      </c>
      <c r="I24">
        <f t="shared" si="9"/>
        <v>514500</v>
      </c>
      <c r="J24" t="str">
        <f t="shared" si="7"/>
        <v>盈利</v>
      </c>
      <c r="K24">
        <f t="shared" si="8"/>
        <v>1762.5</v>
      </c>
    </row>
    <row r="25" spans="1:11" x14ac:dyDescent="0.25">
      <c r="A25" t="s">
        <v>31</v>
      </c>
      <c r="B25">
        <f t="shared" si="10"/>
        <v>15750</v>
      </c>
      <c r="C25">
        <f t="shared" si="11"/>
        <v>21000</v>
      </c>
      <c r="D25">
        <f t="shared" si="12"/>
        <v>6000</v>
      </c>
      <c r="E25">
        <f t="shared" si="13"/>
        <v>90000</v>
      </c>
      <c r="F25">
        <f t="shared" si="14"/>
        <v>18000</v>
      </c>
      <c r="G25">
        <f t="shared" si="15"/>
        <v>54750</v>
      </c>
      <c r="H25">
        <f t="shared" si="16"/>
        <v>35250</v>
      </c>
      <c r="I25">
        <f t="shared" si="9"/>
        <v>549750</v>
      </c>
      <c r="J25" t="str">
        <f t="shared" si="7"/>
        <v>盈利</v>
      </c>
      <c r="K25">
        <f t="shared" si="8"/>
        <v>1762.5</v>
      </c>
    </row>
    <row r="26" spans="1:11" x14ac:dyDescent="0.25">
      <c r="A26" t="s">
        <v>32</v>
      </c>
      <c r="B26">
        <f t="shared" si="10"/>
        <v>15750</v>
      </c>
      <c r="C26">
        <f t="shared" si="11"/>
        <v>21000</v>
      </c>
      <c r="D26">
        <f t="shared" si="12"/>
        <v>6000</v>
      </c>
      <c r="E26">
        <f t="shared" si="13"/>
        <v>90000</v>
      </c>
      <c r="F26">
        <f t="shared" si="14"/>
        <v>18000</v>
      </c>
      <c r="G26">
        <f t="shared" si="15"/>
        <v>54750</v>
      </c>
      <c r="H26">
        <f t="shared" si="16"/>
        <v>35250</v>
      </c>
      <c r="I26">
        <f t="shared" si="9"/>
        <v>585000</v>
      </c>
      <c r="J26" t="str">
        <f t="shared" si="7"/>
        <v>盈利</v>
      </c>
      <c r="K26">
        <f t="shared" si="8"/>
        <v>1762.5</v>
      </c>
    </row>
    <row r="27" spans="1:11" x14ac:dyDescent="0.25">
      <c r="A27" t="s">
        <v>33</v>
      </c>
      <c r="B27">
        <f t="shared" si="10"/>
        <v>15750</v>
      </c>
      <c r="C27">
        <f t="shared" si="11"/>
        <v>21000</v>
      </c>
      <c r="D27">
        <f t="shared" si="12"/>
        <v>6000</v>
      </c>
      <c r="E27">
        <f t="shared" si="13"/>
        <v>90000</v>
      </c>
      <c r="F27">
        <f t="shared" si="14"/>
        <v>18000</v>
      </c>
      <c r="G27">
        <f t="shared" si="15"/>
        <v>54750</v>
      </c>
      <c r="H27">
        <f t="shared" si="16"/>
        <v>35250</v>
      </c>
      <c r="I27">
        <f t="shared" si="9"/>
        <v>620250</v>
      </c>
      <c r="J27" t="str">
        <f t="shared" si="7"/>
        <v>盈利</v>
      </c>
      <c r="K27">
        <f t="shared" si="8"/>
        <v>1762.5</v>
      </c>
    </row>
    <row r="28" spans="1:11" x14ac:dyDescent="0.25">
      <c r="A28" t="s">
        <v>34</v>
      </c>
      <c r="B28">
        <f t="shared" si="10"/>
        <v>15750</v>
      </c>
      <c r="C28">
        <f t="shared" si="11"/>
        <v>21000</v>
      </c>
      <c r="D28">
        <f t="shared" si="12"/>
        <v>6000</v>
      </c>
      <c r="E28">
        <f t="shared" si="13"/>
        <v>90000</v>
      </c>
      <c r="F28">
        <f t="shared" si="14"/>
        <v>18000</v>
      </c>
      <c r="G28">
        <f t="shared" si="15"/>
        <v>54750</v>
      </c>
      <c r="H28">
        <f t="shared" si="16"/>
        <v>35250</v>
      </c>
      <c r="I28">
        <f t="shared" si="9"/>
        <v>655500</v>
      </c>
      <c r="J28" t="str">
        <f t="shared" si="7"/>
        <v>盈利</v>
      </c>
      <c r="K28">
        <f t="shared" si="8"/>
        <v>1762.5</v>
      </c>
    </row>
    <row r="29" spans="1:11" x14ac:dyDescent="0.25">
      <c r="A29" t="s">
        <v>35</v>
      </c>
      <c r="B29">
        <f t="shared" si="10"/>
        <v>15750</v>
      </c>
      <c r="C29">
        <f t="shared" si="11"/>
        <v>21000</v>
      </c>
      <c r="D29">
        <f t="shared" si="12"/>
        <v>6000</v>
      </c>
      <c r="E29">
        <f t="shared" si="13"/>
        <v>90000</v>
      </c>
      <c r="F29">
        <f t="shared" si="14"/>
        <v>18000</v>
      </c>
      <c r="G29">
        <f t="shared" si="15"/>
        <v>54750</v>
      </c>
      <c r="H29">
        <f t="shared" si="16"/>
        <v>35250</v>
      </c>
      <c r="I29">
        <f t="shared" si="9"/>
        <v>690750</v>
      </c>
      <c r="J29" t="str">
        <f t="shared" si="7"/>
        <v>盈利</v>
      </c>
      <c r="K29">
        <f t="shared" si="8"/>
        <v>1762.5</v>
      </c>
    </row>
    <row r="30" spans="1:11" x14ac:dyDescent="0.25">
      <c r="A30" t="s">
        <v>36</v>
      </c>
      <c r="B30">
        <f t="shared" si="10"/>
        <v>15750</v>
      </c>
      <c r="C30">
        <f t="shared" si="11"/>
        <v>21000</v>
      </c>
      <c r="D30">
        <f t="shared" si="12"/>
        <v>6000</v>
      </c>
      <c r="E30">
        <f t="shared" si="13"/>
        <v>90000</v>
      </c>
      <c r="F30">
        <f t="shared" si="14"/>
        <v>18000</v>
      </c>
      <c r="G30">
        <f t="shared" si="15"/>
        <v>54750</v>
      </c>
      <c r="H30">
        <f t="shared" si="16"/>
        <v>35250</v>
      </c>
      <c r="I30">
        <f t="shared" si="9"/>
        <v>726000</v>
      </c>
      <c r="J30" t="str">
        <f t="shared" si="7"/>
        <v>盈利</v>
      </c>
      <c r="K30">
        <f t="shared" si="8"/>
        <v>1762.5</v>
      </c>
    </row>
    <row r="31" spans="1:11" x14ac:dyDescent="0.25">
      <c r="A31" t="s">
        <v>37</v>
      </c>
      <c r="B31">
        <f t="shared" si="10"/>
        <v>15750</v>
      </c>
      <c r="C31">
        <f t="shared" si="11"/>
        <v>21000</v>
      </c>
      <c r="D31">
        <f t="shared" si="12"/>
        <v>6000</v>
      </c>
      <c r="E31">
        <f t="shared" si="13"/>
        <v>90000</v>
      </c>
      <c r="F31">
        <f t="shared" si="14"/>
        <v>18000</v>
      </c>
      <c r="G31">
        <f t="shared" si="15"/>
        <v>54750</v>
      </c>
      <c r="H31">
        <f t="shared" si="16"/>
        <v>35250</v>
      </c>
      <c r="I31">
        <f t="shared" si="9"/>
        <v>761250</v>
      </c>
      <c r="J31" t="str">
        <f t="shared" si="7"/>
        <v>盈利</v>
      </c>
      <c r="K31">
        <f t="shared" si="8"/>
        <v>1762.5</v>
      </c>
    </row>
    <row r="32" spans="1:11" x14ac:dyDescent="0.25">
      <c r="A32" t="s">
        <v>38</v>
      </c>
      <c r="B32">
        <f t="shared" si="10"/>
        <v>15750</v>
      </c>
      <c r="C32">
        <f t="shared" si="11"/>
        <v>21000</v>
      </c>
      <c r="D32">
        <f t="shared" si="12"/>
        <v>6000</v>
      </c>
      <c r="E32">
        <f t="shared" si="13"/>
        <v>90000</v>
      </c>
      <c r="F32">
        <f t="shared" si="14"/>
        <v>18000</v>
      </c>
      <c r="G32">
        <f t="shared" si="15"/>
        <v>54750</v>
      </c>
      <c r="H32">
        <f t="shared" si="16"/>
        <v>35250</v>
      </c>
      <c r="I32">
        <f t="shared" si="9"/>
        <v>796500</v>
      </c>
      <c r="J32" t="str">
        <f t="shared" si="7"/>
        <v>盈利</v>
      </c>
      <c r="K32">
        <f t="shared" si="8"/>
        <v>1762.5</v>
      </c>
    </row>
    <row r="33" spans="1:11" x14ac:dyDescent="0.25">
      <c r="A33" t="s">
        <v>39</v>
      </c>
      <c r="B33">
        <f t="shared" si="10"/>
        <v>15750</v>
      </c>
      <c r="C33">
        <f t="shared" si="11"/>
        <v>21000</v>
      </c>
      <c r="D33">
        <f t="shared" si="12"/>
        <v>6000</v>
      </c>
      <c r="E33">
        <f t="shared" si="13"/>
        <v>90000</v>
      </c>
      <c r="F33">
        <f t="shared" si="14"/>
        <v>18000</v>
      </c>
      <c r="G33">
        <f t="shared" si="15"/>
        <v>54750</v>
      </c>
      <c r="H33">
        <f t="shared" si="16"/>
        <v>35250</v>
      </c>
      <c r="I33">
        <f t="shared" si="9"/>
        <v>831750</v>
      </c>
      <c r="J33" t="str">
        <f t="shared" si="7"/>
        <v>盈利</v>
      </c>
      <c r="K33">
        <f t="shared" si="8"/>
        <v>1762.5</v>
      </c>
    </row>
    <row r="34" spans="1:11" x14ac:dyDescent="0.25">
      <c r="A34" t="s">
        <v>40</v>
      </c>
      <c r="B34">
        <f t="shared" si="10"/>
        <v>15750</v>
      </c>
      <c r="C34">
        <f t="shared" si="11"/>
        <v>21000</v>
      </c>
      <c r="D34">
        <f t="shared" si="12"/>
        <v>6000</v>
      </c>
      <c r="E34">
        <f t="shared" si="13"/>
        <v>90000</v>
      </c>
      <c r="F34">
        <f t="shared" si="14"/>
        <v>18000</v>
      </c>
      <c r="G34">
        <f t="shared" si="15"/>
        <v>54750</v>
      </c>
      <c r="H34">
        <f t="shared" si="16"/>
        <v>35250</v>
      </c>
      <c r="I34">
        <f t="shared" si="9"/>
        <v>867000</v>
      </c>
      <c r="J34" t="str">
        <f t="shared" si="7"/>
        <v>盈利</v>
      </c>
      <c r="K34">
        <f t="shared" si="8"/>
        <v>1762.5</v>
      </c>
    </row>
    <row r="35" spans="1:11" x14ac:dyDescent="0.25">
      <c r="A35" t="s">
        <v>41</v>
      </c>
      <c r="B35">
        <f>$B$23*(1+$B$7)</f>
        <v>16537.5</v>
      </c>
      <c r="C35">
        <f>C23*(1+$B$7)</f>
        <v>22050</v>
      </c>
      <c r="D35">
        <f>D23*(1+$B$8)</f>
        <v>6000</v>
      </c>
      <c r="E35">
        <f t="shared" si="13"/>
        <v>90000</v>
      </c>
      <c r="F35">
        <f t="shared" si="14"/>
        <v>18000</v>
      </c>
      <c r="G35">
        <f t="shared" si="15"/>
        <v>56587.5</v>
      </c>
      <c r="H35">
        <f t="shared" si="16"/>
        <v>33412.5</v>
      </c>
      <c r="I35">
        <f t="shared" si="9"/>
        <v>900412.5</v>
      </c>
      <c r="J35" s="2" t="str">
        <f t="shared" si="7"/>
        <v>盈利</v>
      </c>
      <c r="K35">
        <f t="shared" si="8"/>
        <v>1670.625</v>
      </c>
    </row>
    <row r="36" spans="1:11" x14ac:dyDescent="0.25">
      <c r="A36" t="s">
        <v>42</v>
      </c>
      <c r="B36">
        <f t="shared" ref="B36:B46" si="17">$B$23*(1+$B$7)</f>
        <v>16537.5</v>
      </c>
      <c r="C36">
        <f t="shared" ref="C36:C46" si="18">C24*(1+$B$7)</f>
        <v>22050</v>
      </c>
      <c r="D36">
        <f t="shared" ref="D36:D46" si="19">D24*(1+$B$8)</f>
        <v>6000</v>
      </c>
      <c r="E36">
        <f t="shared" si="13"/>
        <v>90000</v>
      </c>
      <c r="F36">
        <f t="shared" si="14"/>
        <v>18000</v>
      </c>
      <c r="G36">
        <f t="shared" si="15"/>
        <v>56587.5</v>
      </c>
      <c r="H36">
        <f t="shared" si="16"/>
        <v>33412.5</v>
      </c>
      <c r="I36">
        <f t="shared" si="9"/>
        <v>933825</v>
      </c>
      <c r="J36" s="2" t="str">
        <f t="shared" si="7"/>
        <v>盈利</v>
      </c>
      <c r="K36">
        <f t="shared" si="8"/>
        <v>1670.625</v>
      </c>
    </row>
    <row r="37" spans="1:11" x14ac:dyDescent="0.25">
      <c r="A37" t="s">
        <v>43</v>
      </c>
      <c r="B37">
        <f t="shared" si="17"/>
        <v>16537.5</v>
      </c>
      <c r="C37">
        <f t="shared" si="18"/>
        <v>22050</v>
      </c>
      <c r="D37">
        <f t="shared" si="19"/>
        <v>6000</v>
      </c>
      <c r="E37">
        <f t="shared" si="13"/>
        <v>90000</v>
      </c>
      <c r="F37">
        <f t="shared" si="14"/>
        <v>18000</v>
      </c>
      <c r="G37">
        <f t="shared" si="15"/>
        <v>56587.5</v>
      </c>
      <c r="H37">
        <f t="shared" si="16"/>
        <v>33412.5</v>
      </c>
      <c r="I37">
        <f t="shared" si="9"/>
        <v>967237.5</v>
      </c>
      <c r="J37" s="2" t="str">
        <f t="shared" si="7"/>
        <v>盈利</v>
      </c>
      <c r="K37">
        <f t="shared" si="8"/>
        <v>1670.625</v>
      </c>
    </row>
    <row r="38" spans="1:11" x14ac:dyDescent="0.25">
      <c r="A38" t="s">
        <v>44</v>
      </c>
      <c r="B38">
        <f t="shared" si="17"/>
        <v>16537.5</v>
      </c>
      <c r="C38">
        <f t="shared" si="18"/>
        <v>22050</v>
      </c>
      <c r="D38">
        <f t="shared" si="19"/>
        <v>6000</v>
      </c>
      <c r="E38">
        <f t="shared" si="13"/>
        <v>90000</v>
      </c>
      <c r="F38">
        <f t="shared" si="14"/>
        <v>18000</v>
      </c>
      <c r="G38">
        <f t="shared" si="15"/>
        <v>56587.5</v>
      </c>
      <c r="H38">
        <f t="shared" si="16"/>
        <v>33412.5</v>
      </c>
      <c r="I38">
        <f t="shared" si="9"/>
        <v>1000650</v>
      </c>
      <c r="J38" s="2" t="str">
        <f t="shared" si="7"/>
        <v>盈利</v>
      </c>
      <c r="K38">
        <f t="shared" si="8"/>
        <v>1670.625</v>
      </c>
    </row>
    <row r="39" spans="1:11" x14ac:dyDescent="0.25">
      <c r="A39" t="s">
        <v>45</v>
      </c>
      <c r="B39">
        <f t="shared" si="17"/>
        <v>16537.5</v>
      </c>
      <c r="C39">
        <f t="shared" si="18"/>
        <v>22050</v>
      </c>
      <c r="D39">
        <f t="shared" si="19"/>
        <v>6000</v>
      </c>
      <c r="E39">
        <f t="shared" si="13"/>
        <v>90000</v>
      </c>
      <c r="F39">
        <f t="shared" si="14"/>
        <v>18000</v>
      </c>
      <c r="G39">
        <f t="shared" si="15"/>
        <v>56587.5</v>
      </c>
      <c r="H39">
        <f t="shared" si="16"/>
        <v>33412.5</v>
      </c>
      <c r="I39">
        <f t="shared" si="9"/>
        <v>1034062.5</v>
      </c>
      <c r="J39" s="2" t="str">
        <f t="shared" si="7"/>
        <v>盈利</v>
      </c>
      <c r="K39">
        <f t="shared" si="8"/>
        <v>1670.625</v>
      </c>
    </row>
    <row r="40" spans="1:11" x14ac:dyDescent="0.25">
      <c r="A40" t="s">
        <v>46</v>
      </c>
      <c r="B40">
        <f t="shared" si="17"/>
        <v>16537.5</v>
      </c>
      <c r="C40">
        <f t="shared" si="18"/>
        <v>22050</v>
      </c>
      <c r="D40">
        <f t="shared" si="19"/>
        <v>6000</v>
      </c>
      <c r="E40">
        <f t="shared" si="13"/>
        <v>90000</v>
      </c>
      <c r="F40">
        <f t="shared" si="14"/>
        <v>18000</v>
      </c>
      <c r="G40">
        <f t="shared" si="15"/>
        <v>56587.5</v>
      </c>
      <c r="H40">
        <f t="shared" si="16"/>
        <v>33412.5</v>
      </c>
      <c r="I40">
        <f t="shared" si="9"/>
        <v>1067475</v>
      </c>
      <c r="J40" s="2" t="str">
        <f t="shared" si="7"/>
        <v>盈利</v>
      </c>
      <c r="K40">
        <f t="shared" si="8"/>
        <v>1670.625</v>
      </c>
    </row>
    <row r="41" spans="1:11" x14ac:dyDescent="0.25">
      <c r="A41" t="s">
        <v>47</v>
      </c>
      <c r="B41">
        <f t="shared" si="17"/>
        <v>16537.5</v>
      </c>
      <c r="C41">
        <f t="shared" si="18"/>
        <v>22050</v>
      </c>
      <c r="D41">
        <f t="shared" si="19"/>
        <v>6000</v>
      </c>
      <c r="E41">
        <f t="shared" si="13"/>
        <v>90000</v>
      </c>
      <c r="F41">
        <f t="shared" si="14"/>
        <v>18000</v>
      </c>
      <c r="G41">
        <f t="shared" si="15"/>
        <v>56587.5</v>
      </c>
      <c r="H41">
        <f t="shared" si="16"/>
        <v>33412.5</v>
      </c>
      <c r="I41">
        <f t="shared" si="9"/>
        <v>1100887.5</v>
      </c>
      <c r="J41" s="2" t="str">
        <f t="shared" si="7"/>
        <v>盈利</v>
      </c>
      <c r="K41">
        <f t="shared" si="8"/>
        <v>1670.625</v>
      </c>
    </row>
    <row r="42" spans="1:11" x14ac:dyDescent="0.25">
      <c r="A42" t="s">
        <v>48</v>
      </c>
      <c r="B42">
        <f t="shared" si="17"/>
        <v>16537.5</v>
      </c>
      <c r="C42">
        <f t="shared" si="18"/>
        <v>22050</v>
      </c>
      <c r="D42">
        <f t="shared" si="19"/>
        <v>6000</v>
      </c>
      <c r="E42">
        <f t="shared" si="13"/>
        <v>90000</v>
      </c>
      <c r="F42">
        <f t="shared" si="14"/>
        <v>18000</v>
      </c>
      <c r="G42">
        <f t="shared" si="15"/>
        <v>56587.5</v>
      </c>
      <c r="H42">
        <f t="shared" si="16"/>
        <v>33412.5</v>
      </c>
      <c r="I42">
        <f t="shared" si="9"/>
        <v>1134300</v>
      </c>
      <c r="J42" s="2" t="str">
        <f t="shared" si="7"/>
        <v>盈利</v>
      </c>
      <c r="K42">
        <f t="shared" si="8"/>
        <v>1670.625</v>
      </c>
    </row>
    <row r="43" spans="1:11" x14ac:dyDescent="0.25">
      <c r="A43" t="s">
        <v>49</v>
      </c>
      <c r="B43">
        <f t="shared" si="17"/>
        <v>16537.5</v>
      </c>
      <c r="C43">
        <f t="shared" si="18"/>
        <v>22050</v>
      </c>
      <c r="D43">
        <f t="shared" si="19"/>
        <v>6000</v>
      </c>
      <c r="E43">
        <f t="shared" si="13"/>
        <v>90000</v>
      </c>
      <c r="F43">
        <f t="shared" si="14"/>
        <v>18000</v>
      </c>
      <c r="G43">
        <f t="shared" si="15"/>
        <v>56587.5</v>
      </c>
      <c r="H43">
        <f t="shared" si="16"/>
        <v>33412.5</v>
      </c>
      <c r="I43">
        <f t="shared" si="9"/>
        <v>1167712.5</v>
      </c>
      <c r="J43" s="2" t="str">
        <f t="shared" si="7"/>
        <v>盈利</v>
      </c>
      <c r="K43">
        <f t="shared" si="8"/>
        <v>1670.625</v>
      </c>
    </row>
    <row r="44" spans="1:11" x14ac:dyDescent="0.25">
      <c r="A44" t="s">
        <v>50</v>
      </c>
      <c r="B44">
        <f t="shared" si="17"/>
        <v>16537.5</v>
      </c>
      <c r="C44">
        <f t="shared" si="18"/>
        <v>22050</v>
      </c>
      <c r="D44">
        <f t="shared" si="19"/>
        <v>6000</v>
      </c>
      <c r="E44">
        <f t="shared" si="13"/>
        <v>90000</v>
      </c>
      <c r="F44">
        <f t="shared" si="14"/>
        <v>18000</v>
      </c>
      <c r="G44">
        <f t="shared" si="15"/>
        <v>56587.5</v>
      </c>
      <c r="H44">
        <f t="shared" si="16"/>
        <v>33412.5</v>
      </c>
      <c r="I44">
        <f t="shared" si="9"/>
        <v>1201125</v>
      </c>
      <c r="J44" s="2" t="str">
        <f t="shared" si="7"/>
        <v>盈利</v>
      </c>
      <c r="K44">
        <f t="shared" si="8"/>
        <v>1670.625</v>
      </c>
    </row>
    <row r="45" spans="1:11" x14ac:dyDescent="0.25">
      <c r="A45" t="s">
        <v>51</v>
      </c>
      <c r="B45">
        <f t="shared" si="17"/>
        <v>16537.5</v>
      </c>
      <c r="C45">
        <f t="shared" si="18"/>
        <v>22050</v>
      </c>
      <c r="D45">
        <f t="shared" si="19"/>
        <v>6000</v>
      </c>
      <c r="E45">
        <f t="shared" si="13"/>
        <v>90000</v>
      </c>
      <c r="F45">
        <f t="shared" si="14"/>
        <v>18000</v>
      </c>
      <c r="G45">
        <f t="shared" si="15"/>
        <v>56587.5</v>
      </c>
      <c r="H45">
        <f t="shared" si="16"/>
        <v>33412.5</v>
      </c>
      <c r="I45">
        <f t="shared" si="9"/>
        <v>1234537.5</v>
      </c>
      <c r="J45" s="2" t="str">
        <f t="shared" si="7"/>
        <v>盈利</v>
      </c>
      <c r="K45">
        <f t="shared" si="8"/>
        <v>1670.625</v>
      </c>
    </row>
    <row r="46" spans="1:11" x14ac:dyDescent="0.25">
      <c r="A46" t="s">
        <v>52</v>
      </c>
      <c r="B46">
        <f t="shared" si="17"/>
        <v>16537.5</v>
      </c>
      <c r="C46">
        <f t="shared" si="18"/>
        <v>22050</v>
      </c>
      <c r="D46">
        <f t="shared" si="19"/>
        <v>6000</v>
      </c>
      <c r="E46">
        <f t="shared" si="13"/>
        <v>90000</v>
      </c>
      <c r="F46">
        <f t="shared" si="14"/>
        <v>18000</v>
      </c>
      <c r="G46">
        <f t="shared" si="15"/>
        <v>56587.5</v>
      </c>
      <c r="H46">
        <f t="shared" si="16"/>
        <v>33412.5</v>
      </c>
      <c r="I46">
        <f t="shared" si="9"/>
        <v>1267950</v>
      </c>
      <c r="J46" s="2" t="str">
        <f t="shared" si="7"/>
        <v>盈利</v>
      </c>
      <c r="K46">
        <f t="shared" si="8"/>
        <v>1670.625</v>
      </c>
    </row>
  </sheetData>
  <scenarios current="2" show="1" sqref="I46">
    <scenario name="基准情景" locked="1" count="4" user="Administrator" comment="创建者 Administrator 日期 2026/9/16">
      <inputCells r="B4" val="13"/>
      <inputCells r="B5" val="150"/>
      <inputCells r="B7" val="0.15" numFmtId="9"/>
      <inputCells r="B8" val="-0.05" numFmtId="9"/>
    </scenario>
    <scenario name="乐观情景" locked="1" count="4" user="Administrator" comment="创建者 Administrator 日期 2026/9/16_x000a_修改者 Administrator 日期 2026/9/16">
      <inputCells r="B4" val="15"/>
      <inputCells r="B5" val="200"/>
      <inputCells r="B7" val="0.05" numFmtId="9"/>
      <inputCells r="B8" val="0.1" numFmtId="9"/>
    </scenario>
    <scenario name="悲观情景" locked="1" count="4" user="Administrator" comment="创建者 Administrator 日期 2026/9/16">
      <inputCells r="B4" val="10"/>
      <inputCells r="B5" val="80"/>
      <inputCells r="B7" val="0.2" numFmtId="9"/>
      <inputCells r="B8" val="-0.15" numFmtId="9"/>
    </scenario>
  </scenario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方案摘要</vt:lpstr>
      <vt:lpstr>Model1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2026-09-15T08:19:32Z</dcterms:created>
  <dcterms:modified xsi:type="dcterms:W3CDTF">2026-09-16T08:51:51Z</dcterms:modified>
</cp:coreProperties>
</file>